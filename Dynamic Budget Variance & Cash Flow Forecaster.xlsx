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nabmajumdar/Desktop/Important Documents/Resume &amp; Corporate/Portfolio Projects/"/>
    </mc:Choice>
  </mc:AlternateContent>
  <xr:revisionPtr revIDLastSave="0" documentId="13_ncr:1_{829811E3-57C8-B740-9BB7-F0C97C288922}" xr6:coauthVersionLast="47" xr6:coauthVersionMax="47" xr10:uidLastSave="{00000000-0000-0000-0000-000000000000}"/>
  <bookViews>
    <workbookView xWindow="0" yWindow="0" windowWidth="32740" windowHeight="20480" activeTab="4" xr2:uid="{B0A4A599-E263-3743-8E1B-2967D9E116F7}"/>
  </bookViews>
  <sheets>
    <sheet name="Executive Summary" sheetId="5" r:id="rId1"/>
    <sheet name="Assumptions" sheetId="1" r:id="rId2"/>
    <sheet name="Income Statement" sheetId="2" r:id="rId3"/>
    <sheet name="Balance Sheet" sheetId="3" r:id="rId4"/>
    <sheet name="Cash Flow Statemen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5" l="1"/>
  <c r="G5" i="1"/>
  <c r="H5" i="1"/>
  <c r="I5" i="1"/>
  <c r="J5" i="1"/>
  <c r="F5" i="1"/>
  <c r="F5" i="2" s="1"/>
  <c r="G4" i="1"/>
  <c r="H4" i="1"/>
  <c r="I4" i="1"/>
  <c r="J4" i="1"/>
  <c r="F4" i="1"/>
  <c r="F4" i="2" s="1"/>
  <c r="F8" i="2" s="1"/>
  <c r="G14" i="4"/>
  <c r="H14" i="4"/>
  <c r="H16" i="4" s="1"/>
  <c r="I14" i="4"/>
  <c r="I16" i="4" s="1"/>
  <c r="J14" i="4"/>
  <c r="G15" i="4"/>
  <c r="H15" i="4"/>
  <c r="I15" i="4"/>
  <c r="J15" i="4"/>
  <c r="J16" i="4" s="1"/>
  <c r="G16" i="4"/>
  <c r="D21" i="4"/>
  <c r="D19" i="4"/>
  <c r="F19" i="4"/>
  <c r="F16" i="4"/>
  <c r="F15" i="4"/>
  <c r="F14" i="4"/>
  <c r="F5" i="4"/>
  <c r="G12" i="3"/>
  <c r="H12" i="3" s="1"/>
  <c r="G14" i="3"/>
  <c r="H14" i="3"/>
  <c r="I14" i="3"/>
  <c r="J14" i="3"/>
  <c r="F12" i="3"/>
  <c r="F14" i="3"/>
  <c r="J18" i="2"/>
  <c r="I18" i="2"/>
  <c r="H18" i="2"/>
  <c r="G18" i="2"/>
  <c r="E20" i="2"/>
  <c r="E21" i="2" s="1"/>
  <c r="E4" i="4" s="1"/>
  <c r="F18" i="2"/>
  <c r="E15" i="2"/>
  <c r="E12" i="2"/>
  <c r="E19" i="4"/>
  <c r="E14" i="4"/>
  <c r="E15" i="4"/>
  <c r="D15" i="4"/>
  <c r="E12" i="4"/>
  <c r="E6" i="4"/>
  <c r="E7" i="4"/>
  <c r="E8" i="4"/>
  <c r="D14" i="4"/>
  <c r="D16" i="4" s="1"/>
  <c r="D12" i="4"/>
  <c r="D8" i="4"/>
  <c r="D7" i="4"/>
  <c r="D6" i="4"/>
  <c r="D4" i="4"/>
  <c r="D18" i="3"/>
  <c r="E18" i="3"/>
  <c r="C18" i="3"/>
  <c r="D13" i="3"/>
  <c r="D15" i="3" s="1"/>
  <c r="E13" i="3"/>
  <c r="E15" i="3" s="1"/>
  <c r="C13" i="3"/>
  <c r="C15" i="3" s="1"/>
  <c r="D7" i="3"/>
  <c r="D9" i="3" s="1"/>
  <c r="E7" i="3"/>
  <c r="E9" i="3" s="1"/>
  <c r="C7" i="3"/>
  <c r="C9" i="3" s="1"/>
  <c r="D15" i="2"/>
  <c r="C15" i="2"/>
  <c r="D10" i="2"/>
  <c r="E10" i="2"/>
  <c r="C10" i="2"/>
  <c r="D6" i="2"/>
  <c r="D12" i="2" s="1"/>
  <c r="D17" i="2" s="1"/>
  <c r="D20" i="2" s="1"/>
  <c r="D21" i="2" s="1"/>
  <c r="E6" i="2"/>
  <c r="E17" i="2" s="1"/>
  <c r="C6" i="2"/>
  <c r="C12" i="2" s="1"/>
  <c r="C17" i="2" s="1"/>
  <c r="C20" i="2" s="1"/>
  <c r="C21" i="2" s="1"/>
  <c r="G5" i="2" l="1"/>
  <c r="G9" i="2" s="1"/>
  <c r="F9" i="2"/>
  <c r="F10" i="2" s="1"/>
  <c r="F11" i="3" s="1"/>
  <c r="F6" i="2"/>
  <c r="D6" i="5" s="1"/>
  <c r="G4" i="2"/>
  <c r="I12" i="3"/>
  <c r="E16" i="4"/>
  <c r="E9" i="4"/>
  <c r="D9" i="4"/>
  <c r="D18" i="4" s="1"/>
  <c r="D20" i="4" s="1"/>
  <c r="E20" i="3"/>
  <c r="E21" i="3" s="1"/>
  <c r="D20" i="3"/>
  <c r="D21" i="3" s="1"/>
  <c r="C20" i="3"/>
  <c r="C21" i="3" s="1"/>
  <c r="H5" i="2" l="1"/>
  <c r="F6" i="3"/>
  <c r="F13" i="2"/>
  <c r="F14" i="2"/>
  <c r="F5" i="3"/>
  <c r="F6" i="4" s="1"/>
  <c r="F12" i="2"/>
  <c r="D7" i="5" s="1"/>
  <c r="F11" i="4"/>
  <c r="F8" i="3" s="1"/>
  <c r="G5" i="4" s="1"/>
  <c r="H9" i="2"/>
  <c r="I5" i="2"/>
  <c r="G6" i="2"/>
  <c r="E6" i="5" s="1"/>
  <c r="H4" i="2"/>
  <c r="G8" i="2"/>
  <c r="G10" i="2" s="1"/>
  <c r="F8" i="4"/>
  <c r="F13" i="3"/>
  <c r="F15" i="3" s="1"/>
  <c r="F7" i="4"/>
  <c r="J12" i="3"/>
  <c r="E18" i="4"/>
  <c r="E20" i="4" s="1"/>
  <c r="E21" i="4" s="1"/>
  <c r="F15" i="2" l="1"/>
  <c r="F17" i="2" s="1"/>
  <c r="F20" i="2" s="1"/>
  <c r="F19" i="2" s="1"/>
  <c r="F21" i="2" s="1"/>
  <c r="D8" i="5" s="1"/>
  <c r="F12" i="4"/>
  <c r="I9" i="2"/>
  <c r="J5" i="2"/>
  <c r="J9" i="2" s="1"/>
  <c r="G6" i="3"/>
  <c r="G11" i="3"/>
  <c r="H6" i="2"/>
  <c r="F6" i="5" s="1"/>
  <c r="I4" i="2"/>
  <c r="H8" i="2"/>
  <c r="H10" i="2" s="1"/>
  <c r="G11" i="4"/>
  <c r="G12" i="4" s="1"/>
  <c r="G5" i="3"/>
  <c r="G12" i="2"/>
  <c r="E7" i="5" s="1"/>
  <c r="G14" i="2"/>
  <c r="G13" i="2"/>
  <c r="F4" i="4" l="1"/>
  <c r="F9" i="4" s="1"/>
  <c r="F18" i="4" s="1"/>
  <c r="F20" i="4" s="1"/>
  <c r="D9" i="5" s="1"/>
  <c r="F17" i="3"/>
  <c r="F18" i="3" s="1"/>
  <c r="F20" i="3" s="1"/>
  <c r="G8" i="4"/>
  <c r="G13" i="3"/>
  <c r="G15" i="3" s="1"/>
  <c r="G8" i="3"/>
  <c r="H5" i="4" s="1"/>
  <c r="G7" i="4"/>
  <c r="G15" i="2"/>
  <c r="G17" i="2" s="1"/>
  <c r="G20" i="2" s="1"/>
  <c r="G19" i="2" s="1"/>
  <c r="G21" i="2" s="1"/>
  <c r="G6" i="4"/>
  <c r="H11" i="4"/>
  <c r="H12" i="4" s="1"/>
  <c r="H5" i="3"/>
  <c r="H14" i="2"/>
  <c r="H13" i="2"/>
  <c r="H12" i="2"/>
  <c r="F7" i="5" s="1"/>
  <c r="H11" i="3"/>
  <c r="H6" i="3"/>
  <c r="H7" i="4" s="1"/>
  <c r="I6" i="2"/>
  <c r="G6" i="5" s="1"/>
  <c r="J4" i="2"/>
  <c r="I8" i="2"/>
  <c r="I10" i="2" s="1"/>
  <c r="G4" i="4" l="1"/>
  <c r="G9" i="4" s="1"/>
  <c r="G18" i="4" s="1"/>
  <c r="E8" i="5"/>
  <c r="I6" i="3"/>
  <c r="I11" i="3"/>
  <c r="J6" i="2"/>
  <c r="H6" i="5" s="1"/>
  <c r="J8" i="2"/>
  <c r="J10" i="2" s="1"/>
  <c r="H15" i="2"/>
  <c r="H17" i="2" s="1"/>
  <c r="H20" i="2" s="1"/>
  <c r="H19" i="2" s="1"/>
  <c r="H21" i="2" s="1"/>
  <c r="I11" i="4"/>
  <c r="I12" i="4" s="1"/>
  <c r="I5" i="3"/>
  <c r="I6" i="4" s="1"/>
  <c r="I12" i="2"/>
  <c r="G7" i="5" s="1"/>
  <c r="I14" i="2"/>
  <c r="I13" i="2"/>
  <c r="G17" i="3"/>
  <c r="H8" i="3"/>
  <c r="I5" i="4" s="1"/>
  <c r="I7" i="4"/>
  <c r="H8" i="4"/>
  <c r="H13" i="3"/>
  <c r="H15" i="3" s="1"/>
  <c r="H6" i="4"/>
  <c r="H4" i="4" l="1"/>
  <c r="F8" i="5"/>
  <c r="I15" i="2"/>
  <c r="H9" i="4"/>
  <c r="H18" i="4" s="1"/>
  <c r="I8" i="3"/>
  <c r="J5" i="4" s="1"/>
  <c r="G18" i="3"/>
  <c r="G20" i="3" s="1"/>
  <c r="H17" i="3"/>
  <c r="J11" i="3"/>
  <c r="J6" i="3"/>
  <c r="J7" i="4" s="1"/>
  <c r="J11" i="4"/>
  <c r="J12" i="4" s="1"/>
  <c r="J5" i="3"/>
  <c r="J6" i="4" s="1"/>
  <c r="J14" i="2"/>
  <c r="J13" i="2"/>
  <c r="J12" i="2"/>
  <c r="H7" i="5" s="1"/>
  <c r="I17" i="2"/>
  <c r="I20" i="2" s="1"/>
  <c r="I19" i="2" s="1"/>
  <c r="I21" i="2" s="1"/>
  <c r="I8" i="4"/>
  <c r="I13" i="3"/>
  <c r="I15" i="3" s="1"/>
  <c r="I4" i="4" l="1"/>
  <c r="G8" i="5"/>
  <c r="J15" i="2"/>
  <c r="J17" i="2" s="1"/>
  <c r="J20" i="2" s="1"/>
  <c r="J19" i="2" s="1"/>
  <c r="J21" i="2" s="1"/>
  <c r="I9" i="4"/>
  <c r="I18" i="4" s="1"/>
  <c r="H18" i="3"/>
  <c r="H20" i="3" s="1"/>
  <c r="I17" i="3"/>
  <c r="J8" i="4"/>
  <c r="J13" i="3"/>
  <c r="J15" i="3" s="1"/>
  <c r="J8" i="3"/>
  <c r="J4" i="4" l="1"/>
  <c r="J9" i="4" s="1"/>
  <c r="J18" i="4" s="1"/>
  <c r="H8" i="5"/>
  <c r="J17" i="3"/>
  <c r="J18" i="3" s="1"/>
  <c r="J20" i="3" s="1"/>
  <c r="I18" i="3"/>
  <c r="I20" i="3" s="1"/>
  <c r="I21" i="3"/>
  <c r="I9" i="3"/>
  <c r="I7" i="3"/>
  <c r="F7" i="3"/>
  <c r="F9" i="3"/>
  <c r="F21" i="3"/>
  <c r="G9" i="5"/>
  <c r="H21" i="3"/>
  <c r="H9" i="3"/>
  <c r="H7" i="3"/>
  <c r="H9" i="5"/>
  <c r="E9" i="5"/>
  <c r="G21" i="3"/>
  <c r="G7" i="3"/>
  <c r="G9" i="3"/>
  <c r="F9" i="5"/>
  <c r="F21" i="4"/>
  <c r="F4" i="3"/>
  <c r="G19" i="4"/>
  <c r="G20" i="4"/>
  <c r="G21" i="4"/>
  <c r="G4" i="3"/>
  <c r="H19" i="4"/>
  <c r="H20" i="4"/>
  <c r="H21" i="4"/>
  <c r="H4" i="3"/>
  <c r="I19" i="4"/>
  <c r="I20" i="4"/>
  <c r="I21" i="4"/>
  <c r="I4" i="3"/>
  <c r="J19" i="4"/>
  <c r="J20" i="4"/>
  <c r="J21" i="4"/>
  <c r="J4" i="3"/>
  <c r="J7" i="3"/>
  <c r="J9" i="3"/>
  <c r="J21" i="3"/>
</calcChain>
</file>

<file path=xl/sharedStrings.xml><?xml version="1.0" encoding="utf-8"?>
<sst xmlns="http://schemas.openxmlformats.org/spreadsheetml/2006/main" count="87" uniqueCount="66">
  <si>
    <t>2026E</t>
  </si>
  <si>
    <t>2028E</t>
  </si>
  <si>
    <t>2029E</t>
  </si>
  <si>
    <t>2030E</t>
  </si>
  <si>
    <t>Net Sales: Products</t>
  </si>
  <si>
    <t>Net Sales: Services</t>
  </si>
  <si>
    <t>Total Net Sales</t>
  </si>
  <si>
    <t>Total Cost of Sales</t>
  </si>
  <si>
    <t>Cost of Sales: Products</t>
  </si>
  <si>
    <t>Cost of Sales: Services</t>
  </si>
  <si>
    <t>Gross Margin</t>
  </si>
  <si>
    <t>Research and Development (R&amp;D)</t>
  </si>
  <si>
    <t>Total Operating Expenses</t>
  </si>
  <si>
    <t>Selling, General &amp; Administrative (SG&amp;A)</t>
  </si>
  <si>
    <t>Operating Income (EBIT)</t>
  </si>
  <si>
    <t>Other Income/(Expense), Net</t>
  </si>
  <si>
    <t>Net Income</t>
  </si>
  <si>
    <t>Provision for Income Taxes</t>
  </si>
  <si>
    <t>Income Before Provison for Income Taxes</t>
  </si>
  <si>
    <t>2027E</t>
  </si>
  <si>
    <t>20230E</t>
  </si>
  <si>
    <t>Cash and Cash Equivalents</t>
  </si>
  <si>
    <t>Accounts Receivables</t>
  </si>
  <si>
    <t>Inventories</t>
  </si>
  <si>
    <t>Total Current Assets</t>
  </si>
  <si>
    <t>Property, Plant &amp; Equipment (PP&amp;E), Net</t>
  </si>
  <si>
    <t>Total Assets</t>
  </si>
  <si>
    <t>Accounts Payable</t>
  </si>
  <si>
    <t>Commercial paper &amp; Short Term Debt</t>
  </si>
  <si>
    <t>Total Current Liabilities</t>
  </si>
  <si>
    <t>Long Term Debt</t>
  </si>
  <si>
    <t>Total Liabilities</t>
  </si>
  <si>
    <t>Common Stock &amp; Retained Earnings</t>
  </si>
  <si>
    <t>Total Shareholders' Equity</t>
  </si>
  <si>
    <t>Total Liabilities &amp; Equity</t>
  </si>
  <si>
    <t>Balance Check (Zero out)</t>
  </si>
  <si>
    <t>Depriciation and Amortization</t>
  </si>
  <si>
    <t>Change in Accounts Receivable</t>
  </si>
  <si>
    <t>Change in Inventories</t>
  </si>
  <si>
    <t>Change in Accounts Payable</t>
  </si>
  <si>
    <t>Total Cash Flow from Operations</t>
  </si>
  <si>
    <t>Total Cash Flow from Investing</t>
  </si>
  <si>
    <t>Change in Short-Term Debt</t>
  </si>
  <si>
    <t>Change in Long-Term Debt</t>
  </si>
  <si>
    <t>Total Cash Flow from Financing</t>
  </si>
  <si>
    <t>Net Change in Cash</t>
  </si>
  <si>
    <t>Cash at Beginning of Year</t>
  </si>
  <si>
    <t>Cash at End of Year</t>
  </si>
  <si>
    <t>Reconcillation Check</t>
  </si>
  <si>
    <t>Product Revenue Growth %</t>
  </si>
  <si>
    <t>Service Revenue Growth %</t>
  </si>
  <si>
    <t>Product COGS Margin %</t>
  </si>
  <si>
    <t>Service COGS Margin %</t>
  </si>
  <si>
    <t>R&amp;D as % of Total Revenue</t>
  </si>
  <si>
    <t xml:space="preserve">SG&amp;A as % of Total Revenue </t>
  </si>
  <si>
    <t>Effective Tax Rate %</t>
  </si>
  <si>
    <t>Accounts Receivable (% of Total Revenue)</t>
  </si>
  <si>
    <t>Inventory (% of Product COGS)</t>
  </si>
  <si>
    <t>Accounts Payable (% of Total COGS)</t>
  </si>
  <si>
    <t>CapEx (% of Total Revenue)</t>
  </si>
  <si>
    <t>Depreciation (% of Beginning PP&amp;E)</t>
  </si>
  <si>
    <t>Capital Expenditure</t>
  </si>
  <si>
    <t>Active Scenario:</t>
  </si>
  <si>
    <t>Total Revenue</t>
  </si>
  <si>
    <t>Gross Margin %</t>
  </si>
  <si>
    <t>Ending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</si>
</sst>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70C0"/>
      <name val="Aptos Narrow"/>
      <family val="2"/>
      <scheme val="minor"/>
    </font>
    <font>
      <sz val="12"/>
      <color theme="1"/>
      <name val="Aptos Narrow"/>
      <scheme val="minor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0" fillId="0" borderId="0" xfId="0" applyAlignment="1">
      <alignment horizontal="left" indent="2"/>
    </xf>
    <xf numFmtId="0" fontId="1" fillId="0" borderId="0" xfId="0" applyFont="1" applyAlignment="1">
      <alignment horizontal="left" indent="2"/>
    </xf>
    <xf numFmtId="0" fontId="2" fillId="0" borderId="0" xfId="0" applyFont="1"/>
    <xf numFmtId="0" fontId="3" fillId="0" borderId="0" xfId="0" applyFont="1" applyAlignment="1">
      <alignment horizontal="left" indent="2"/>
    </xf>
    <xf numFmtId="0" fontId="1" fillId="0" borderId="0" xfId="0" applyFont="1" applyAlignment="1">
      <alignment horizontal="right"/>
    </xf>
    <xf numFmtId="0" fontId="0" fillId="0" borderId="1" xfId="0" applyBorder="1"/>
    <xf numFmtId="0" fontId="1" fillId="0" borderId="0" xfId="0" applyFont="1"/>
    <xf numFmtId="0" fontId="3" fillId="0" borderId="0" xfId="0" applyFont="1"/>
    <xf numFmtId="0" fontId="0" fillId="2" borderId="0" xfId="0" applyFill="1"/>
    <xf numFmtId="0" fontId="1" fillId="2" borderId="0" xfId="0" applyFont="1" applyFill="1"/>
    <xf numFmtId="9" fontId="2" fillId="0" borderId="0" xfId="0" applyNumberFormat="1" applyFont="1"/>
    <xf numFmtId="0" fontId="0" fillId="4" borderId="0" xfId="0" applyFill="1"/>
    <xf numFmtId="0" fontId="4" fillId="4" borderId="0" xfId="0" applyFont="1" applyFill="1"/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0" xfId="0" applyFont="1" applyFill="1"/>
    <xf numFmtId="0" fontId="4" fillId="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>
        <c:manualLayout>
          <c:xMode val="edge"/>
          <c:yMode val="edge"/>
          <c:x val="0.37550929598173699"/>
          <c:y val="3.97603056970819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'Executive Summary'!$B$6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'Executive Summary'!$C$6:$H$6</c:f>
              <c:numCache>
                <c:formatCode>General</c:formatCode>
                <c:ptCount val="6"/>
                <c:pt idx="1">
                  <c:v>441540.08</c:v>
                </c:pt>
                <c:pt idx="2">
                  <c:v>468982.24</c:v>
                </c:pt>
                <c:pt idx="3">
                  <c:v>498695.75321600004</c:v>
                </c:pt>
                <c:pt idx="4">
                  <c:v>530912.31379456003</c:v>
                </c:pt>
                <c:pt idx="5">
                  <c:v>565889.78445025301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27-DD43-9B42-EB6013200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93238080"/>
        <c:axId val="1893246592"/>
        <c:axId val="0"/>
      </c:bar3DChart>
      <c:catAx>
        <c:axId val="1893238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246592"/>
        <c:crosses val="autoZero"/>
        <c:auto val="1"/>
        <c:lblAlgn val="ctr"/>
        <c:lblOffset val="100"/>
        <c:noMultiLvlLbl val="0"/>
      </c:catAx>
      <c:valAx>
        <c:axId val="189324659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238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508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'Executive Summary'!$B$8</c:f>
              <c:strCache>
                <c:ptCount val="1"/>
                <c:pt idx="0">
                  <c:v>Net Income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'Executive Summary'!$C$8:$H$8</c:f>
              <c:numCache>
                <c:formatCode>General</c:formatCode>
                <c:ptCount val="6"/>
                <c:pt idx="1">
                  <c:v>117456.153024</c:v>
                </c:pt>
                <c:pt idx="2">
                  <c:v>126840.68974079998</c:v>
                </c:pt>
                <c:pt idx="3">
                  <c:v>137162.55959777281</c:v>
                </c:pt>
                <c:pt idx="4">
                  <c:v>148526.69012110541</c:v>
                </c:pt>
                <c:pt idx="5">
                  <c:v>161050.29804210202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20-3346-B864-446CC79C0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8444224"/>
        <c:axId val="1968442432"/>
      </c:lineChart>
      <c:catAx>
        <c:axId val="1968444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442432"/>
        <c:crosses val="autoZero"/>
        <c:auto val="1"/>
        <c:lblAlgn val="ctr"/>
        <c:lblOffset val="100"/>
        <c:noMultiLvlLbl val="0"/>
      </c:catAx>
      <c:valAx>
        <c:axId val="19684424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444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508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11</xdr:row>
      <xdr:rowOff>88900</xdr:rowOff>
    </xdr:from>
    <xdr:to>
      <xdr:col>6</xdr:col>
      <xdr:colOff>215900</xdr:colOff>
      <xdr:row>28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76BE73-7EDB-0CDF-ADD2-482FF57A07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228600</xdr:colOff>
      <xdr:row>11</xdr:row>
      <xdr:rowOff>88900</xdr:rowOff>
    </xdr:from>
    <xdr:to>
      <xdr:col>14</xdr:col>
      <xdr:colOff>241300</xdr:colOff>
      <xdr:row>28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005680-F184-3768-1336-8CBD526A38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53EE2-56A5-BE49-A805-9165BF5F4DC4}">
  <dimension ref="B2:H9"/>
  <sheetViews>
    <sheetView workbookViewId="0">
      <selection activeCell="R69" sqref="R69"/>
    </sheetView>
  </sheetViews>
  <sheetFormatPr baseColWidth="10" defaultRowHeight="16" x14ac:dyDescent="0.2"/>
  <cols>
    <col min="1" max="1" width="10.83203125" style="14"/>
    <col min="2" max="2" width="29.6640625" style="14" bestFit="1" customWidth="1"/>
    <col min="3" max="3" width="3" style="14" bestFit="1" customWidth="1"/>
    <col min="4" max="4" width="18.1640625" style="14" bestFit="1" customWidth="1"/>
    <col min="5" max="16384" width="10.83203125" style="14"/>
  </cols>
  <sheetData>
    <row r="2" spans="2:8" ht="23" x14ac:dyDescent="0.25">
      <c r="B2" s="15" t="s">
        <v>62</v>
      </c>
      <c r="C2" s="16">
        <v>1</v>
      </c>
      <c r="D2" s="17" t="str">
        <f>CHOOSE(C2, "Base Case", "Bull Case", "Bear Case")</f>
        <v>Base Case</v>
      </c>
      <c r="E2" s="18"/>
      <c r="F2" s="18"/>
      <c r="G2" s="18"/>
      <c r="H2" s="18"/>
    </row>
    <row r="3" spans="2:8" ht="23" x14ac:dyDescent="0.25">
      <c r="B3" s="18"/>
      <c r="C3" s="18"/>
      <c r="D3" s="18"/>
      <c r="E3" s="18"/>
      <c r="F3" s="18"/>
      <c r="G3" s="18"/>
      <c r="H3" s="18"/>
    </row>
    <row r="4" spans="2:8" ht="23" x14ac:dyDescent="0.25">
      <c r="B4" s="18"/>
      <c r="C4" s="18"/>
      <c r="D4" s="18"/>
      <c r="E4" s="18"/>
      <c r="F4" s="18"/>
      <c r="G4" s="18"/>
      <c r="H4" s="18"/>
    </row>
    <row r="5" spans="2:8" ht="23" x14ac:dyDescent="0.25">
      <c r="B5" s="18"/>
      <c r="C5" s="18"/>
      <c r="D5" s="19" t="s">
        <v>0</v>
      </c>
      <c r="E5" s="19" t="s">
        <v>19</v>
      </c>
      <c r="F5" s="19" t="s">
        <v>1</v>
      </c>
      <c r="G5" s="19" t="s">
        <v>2</v>
      </c>
      <c r="H5" s="19" t="s">
        <v>3</v>
      </c>
    </row>
    <row r="6" spans="2:8" ht="23" x14ac:dyDescent="0.25">
      <c r="B6" s="15" t="s">
        <v>63</v>
      </c>
      <c r="C6" s="18"/>
      <c r="D6" s="18">
        <f>'Income Statement'!F6</f>
        <v>441540.08</v>
      </c>
      <c r="E6" s="18">
        <f>'Income Statement'!G6</f>
        <v>468982.24</v>
      </c>
      <c r="F6" s="18">
        <f>'Income Statement'!H6</f>
        <v>498695.75321600004</v>
      </c>
      <c r="G6" s="18">
        <f>'Income Statement'!I6</f>
        <v>530912.31379456003</v>
      </c>
      <c r="H6" s="18">
        <f>'Income Statement'!J6</f>
        <v>565889.78445025301</v>
      </c>
    </row>
    <row r="7" spans="2:8" ht="23" x14ac:dyDescent="0.25">
      <c r="B7" s="15" t="s">
        <v>64</v>
      </c>
      <c r="C7" s="18"/>
      <c r="D7" s="18">
        <f>'Income Statement'!F12/'Income Statement'!F6</f>
        <v>0.46691064965155599</v>
      </c>
      <c r="E7" s="18">
        <f>'Income Statement'!G12/'Income Statement'!G6</f>
        <v>0.47218879145615406</v>
      </c>
      <c r="F7" s="18">
        <f>'Income Statement'!H12/'Income Statement'!H6</f>
        <v>0.47763214920571312</v>
      </c>
      <c r="G7" s="18">
        <f>'Income Statement'!I12/'Income Statement'!I6</f>
        <v>0.48323297207958632</v>
      </c>
      <c r="H7" s="18">
        <f>'Income Statement'!J12/'Income Statement'!J6</f>
        <v>0.4889821667739967</v>
      </c>
    </row>
    <row r="8" spans="2:8" ht="23" x14ac:dyDescent="0.25">
      <c r="B8" s="15" t="s">
        <v>16</v>
      </c>
      <c r="C8" s="18"/>
      <c r="D8" s="18">
        <f>'Income Statement'!F21</f>
        <v>117456.153024</v>
      </c>
      <c r="E8" s="18">
        <f>'Income Statement'!G21</f>
        <v>126840.68974079998</v>
      </c>
      <c r="F8" s="18">
        <f>'Income Statement'!H21</f>
        <v>137162.55959777281</v>
      </c>
      <c r="G8" s="18">
        <f>'Income Statement'!I21</f>
        <v>148526.69012110541</v>
      </c>
      <c r="H8" s="18">
        <f>'Income Statement'!J21</f>
        <v>161050.29804210202</v>
      </c>
    </row>
    <row r="9" spans="2:8" ht="23" x14ac:dyDescent="0.25">
      <c r="B9" s="15" t="s">
        <v>65</v>
      </c>
      <c r="C9" s="18"/>
      <c r="D9" s="18">
        <f>'Cash Flow Statement'!F20</f>
        <v>184824.04494400002</v>
      </c>
      <c r="E9" s="18">
        <f ca="1">'Cash Flow Statement'!G20</f>
        <v>184824.04494400002</v>
      </c>
      <c r="F9" s="18">
        <f ca="1">'Cash Flow Statement'!H20</f>
        <v>184824.04494400002</v>
      </c>
      <c r="G9" s="18">
        <f ca="1">'Cash Flow Statement'!I20</f>
        <v>184824.04494400002</v>
      </c>
      <c r="H9" s="18">
        <f ca="1">'Cash Flow Statement'!J20</f>
        <v>184824.04494400002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5B0EA-B8FB-C04B-B20C-53B4185EF585}">
  <dimension ref="B2:J17"/>
  <sheetViews>
    <sheetView zoomScale="11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baseColWidth="10" defaultRowHeight="16" x14ac:dyDescent="0.2"/>
  <cols>
    <col min="2" max="2" width="40.83203125" customWidth="1"/>
    <col min="3" max="3" width="14.1640625" bestFit="1" customWidth="1"/>
  </cols>
  <sheetData>
    <row r="2" spans="2:10" x14ac:dyDescent="0.2">
      <c r="F2" s="7" t="s">
        <v>0</v>
      </c>
      <c r="G2" s="7" t="s">
        <v>19</v>
      </c>
      <c r="H2" s="7" t="s">
        <v>1</v>
      </c>
      <c r="I2" s="7" t="s">
        <v>2</v>
      </c>
      <c r="J2" s="7" t="s">
        <v>3</v>
      </c>
    </row>
    <row r="4" spans="2:10" x14ac:dyDescent="0.2">
      <c r="B4" t="s">
        <v>49</v>
      </c>
      <c r="F4" s="13">
        <f>CHOOSE('Executive Summary'!$C$2, 0.04, 0.08, 0.01)</f>
        <v>0.04</v>
      </c>
      <c r="G4" s="13">
        <f>CHOOSE('Executive Summary'!$C$2, 0.04, 0.08, 0.01)</f>
        <v>0.04</v>
      </c>
      <c r="H4" s="13">
        <f>CHOOSE('Executive Summary'!$C$2, 0.04, 0.08, 0.01)</f>
        <v>0.04</v>
      </c>
      <c r="I4" s="13">
        <f>CHOOSE('Executive Summary'!$C$2, 0.04, 0.08, 0.01)</f>
        <v>0.04</v>
      </c>
      <c r="J4" s="13">
        <f>CHOOSE('Executive Summary'!$C$2, 0.04, 0.08, 0.01)</f>
        <v>0.04</v>
      </c>
    </row>
    <row r="5" spans="2:10" x14ac:dyDescent="0.2">
      <c r="B5" t="s">
        <v>50</v>
      </c>
      <c r="F5" s="13">
        <f>CHOOSE('Executive Summary'!$C$2, 0.12, 0.18, 0.05)</f>
        <v>0.12</v>
      </c>
      <c r="G5" s="13">
        <f>CHOOSE('Executive Summary'!$C$2, 0.12, 0.18, 0.05)</f>
        <v>0.12</v>
      </c>
      <c r="H5" s="13">
        <f>CHOOSE('Executive Summary'!$C$2, 0.12, 0.18, 0.05)</f>
        <v>0.12</v>
      </c>
      <c r="I5" s="13">
        <f>CHOOSE('Executive Summary'!$C$2, 0.12, 0.18, 0.05)</f>
        <v>0.12</v>
      </c>
      <c r="J5" s="13">
        <f>CHOOSE('Executive Summary'!$C$2, 0.12, 0.18, 0.05)</f>
        <v>0.12</v>
      </c>
    </row>
    <row r="6" spans="2:10" x14ac:dyDescent="0.2">
      <c r="F6" s="5"/>
      <c r="G6" s="5"/>
      <c r="H6" s="5"/>
      <c r="I6" s="5"/>
      <c r="J6" s="5"/>
    </row>
    <row r="7" spans="2:10" x14ac:dyDescent="0.2">
      <c r="B7" t="s">
        <v>51</v>
      </c>
      <c r="F7" s="13">
        <v>0.63</v>
      </c>
      <c r="G7" s="13">
        <v>0.63</v>
      </c>
      <c r="H7" s="13">
        <v>0.63</v>
      </c>
      <c r="I7" s="13">
        <v>0.63</v>
      </c>
      <c r="J7" s="13">
        <v>0.63</v>
      </c>
    </row>
    <row r="8" spans="2:10" x14ac:dyDescent="0.2">
      <c r="B8" t="s">
        <v>52</v>
      </c>
      <c r="F8" s="13">
        <v>0.28000000000000003</v>
      </c>
      <c r="G8" s="13">
        <v>0.28000000000000003</v>
      </c>
      <c r="H8" s="13">
        <v>0.28000000000000003</v>
      </c>
      <c r="I8" s="13">
        <v>0.28000000000000003</v>
      </c>
      <c r="J8" s="13">
        <v>0.28000000000000003</v>
      </c>
    </row>
    <row r="9" spans="2:10" x14ac:dyDescent="0.2">
      <c r="B9" t="s">
        <v>53</v>
      </c>
      <c r="F9" s="13">
        <v>0.08</v>
      </c>
      <c r="G9" s="13">
        <v>0.08</v>
      </c>
      <c r="H9" s="13">
        <v>0.08</v>
      </c>
      <c r="I9" s="13">
        <v>0.08</v>
      </c>
      <c r="J9" s="13">
        <v>0.08</v>
      </c>
    </row>
    <row r="10" spans="2:10" x14ac:dyDescent="0.2">
      <c r="B10" t="s">
        <v>54</v>
      </c>
      <c r="F10" s="13">
        <v>7.0000000000000007E-2</v>
      </c>
      <c r="G10" s="13">
        <v>7.0000000000000007E-2</v>
      </c>
      <c r="H10" s="13">
        <v>7.0000000000000007E-2</v>
      </c>
      <c r="I10" s="13">
        <v>7.0000000000000007E-2</v>
      </c>
      <c r="J10" s="13">
        <v>7.0000000000000007E-2</v>
      </c>
    </row>
    <row r="11" spans="2:10" x14ac:dyDescent="0.2">
      <c r="B11" t="s">
        <v>55</v>
      </c>
      <c r="F11" s="13">
        <v>0.16</v>
      </c>
      <c r="G11" s="13">
        <v>0.16</v>
      </c>
      <c r="H11" s="13">
        <v>0.16</v>
      </c>
      <c r="I11" s="13">
        <v>0.16</v>
      </c>
      <c r="J11" s="13">
        <v>0.16</v>
      </c>
    </row>
    <row r="12" spans="2:10" x14ac:dyDescent="0.2">
      <c r="F12" s="5"/>
      <c r="G12" s="5"/>
      <c r="H12" s="5"/>
      <c r="I12" s="5"/>
      <c r="J12" s="5"/>
    </row>
    <row r="13" spans="2:10" x14ac:dyDescent="0.2">
      <c r="B13" t="s">
        <v>56</v>
      </c>
      <c r="F13" s="13">
        <v>0.16</v>
      </c>
      <c r="G13" s="13">
        <v>0.16</v>
      </c>
      <c r="H13" s="13">
        <v>0.16</v>
      </c>
      <c r="I13" s="13">
        <v>0.16</v>
      </c>
      <c r="J13" s="13">
        <v>0.16</v>
      </c>
    </row>
    <row r="14" spans="2:10" x14ac:dyDescent="0.2">
      <c r="B14" t="s">
        <v>57</v>
      </c>
      <c r="F14" s="13">
        <v>0.04</v>
      </c>
      <c r="G14" s="13">
        <v>0.04</v>
      </c>
      <c r="H14" s="13">
        <v>0.04</v>
      </c>
      <c r="I14" s="13">
        <v>0.04</v>
      </c>
      <c r="J14" s="13">
        <v>0.04</v>
      </c>
    </row>
    <row r="15" spans="2:10" x14ac:dyDescent="0.2">
      <c r="B15" t="s">
        <v>58</v>
      </c>
      <c r="F15" s="13">
        <v>0.3</v>
      </c>
      <c r="G15" s="13">
        <v>0.3</v>
      </c>
      <c r="H15" s="13">
        <v>0.3</v>
      </c>
      <c r="I15" s="13">
        <v>0.3</v>
      </c>
      <c r="J15" s="13">
        <v>0.3</v>
      </c>
    </row>
    <row r="16" spans="2:10" x14ac:dyDescent="0.2">
      <c r="B16" t="s">
        <v>59</v>
      </c>
      <c r="F16" s="13">
        <v>0.03</v>
      </c>
      <c r="G16" s="13">
        <v>0.03</v>
      </c>
      <c r="H16" s="13">
        <v>0.03</v>
      </c>
      <c r="I16" s="13">
        <v>0.03</v>
      </c>
      <c r="J16" s="13">
        <v>0.03</v>
      </c>
    </row>
    <row r="17" spans="2:10" x14ac:dyDescent="0.2">
      <c r="B17" t="s">
        <v>60</v>
      </c>
      <c r="F17" s="13">
        <v>0.05</v>
      </c>
      <c r="G17" s="13">
        <v>0.05</v>
      </c>
      <c r="H17" s="13">
        <v>0.05</v>
      </c>
      <c r="I17" s="13">
        <v>0.05</v>
      </c>
      <c r="J17" s="13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0E9C1-E47D-1049-A866-4D0B94CAEBD7}">
  <dimension ref="B2:J21"/>
  <sheetViews>
    <sheetView zoomScale="113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baseColWidth="10" defaultRowHeight="16" x14ac:dyDescent="0.2"/>
  <cols>
    <col min="2" max="2" width="40.83203125" customWidth="1"/>
  </cols>
  <sheetData>
    <row r="2" spans="2:10" s="1" customFormat="1" x14ac:dyDescent="0.2">
      <c r="C2" s="1">
        <v>2023</v>
      </c>
      <c r="D2" s="1">
        <v>2024</v>
      </c>
      <c r="E2" s="1">
        <v>2025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</row>
    <row r="4" spans="2:10" x14ac:dyDescent="0.2">
      <c r="B4" s="3" t="s">
        <v>4</v>
      </c>
      <c r="C4" s="5">
        <v>298085</v>
      </c>
      <c r="D4" s="5">
        <v>294866</v>
      </c>
      <c r="E4" s="5">
        <v>307003</v>
      </c>
      <c r="F4">
        <f>E4*(1+Assumptions!F4)</f>
        <v>319283.12</v>
      </c>
      <c r="G4">
        <f>F4*(1+Assumptions!G4)</f>
        <v>332054.4448</v>
      </c>
      <c r="H4">
        <f>G4*(1+Assumptions!H4)</f>
        <v>345336.622592</v>
      </c>
      <c r="I4">
        <f>H4*(1+Assumptions!I4)</f>
        <v>359150.08749568003</v>
      </c>
      <c r="J4">
        <f>I4*(1+Assumptions!J4)</f>
        <v>373516.09099550726</v>
      </c>
    </row>
    <row r="5" spans="2:10" x14ac:dyDescent="0.2">
      <c r="B5" s="3" t="s">
        <v>5</v>
      </c>
      <c r="C5" s="5">
        <v>85200</v>
      </c>
      <c r="D5" s="5">
        <v>96169</v>
      </c>
      <c r="E5" s="5">
        <v>109158</v>
      </c>
      <c r="F5">
        <f>E5*(1+Assumptions!F5)</f>
        <v>122256.96000000001</v>
      </c>
      <c r="G5">
        <f>F5*(1+Assumptions!G5)</f>
        <v>136927.79520000002</v>
      </c>
      <c r="H5">
        <f>G5*(1+Assumptions!H5)</f>
        <v>153359.13062400004</v>
      </c>
      <c r="I5">
        <f>H5*(1+Assumptions!I5)</f>
        <v>171762.22629888006</v>
      </c>
      <c r="J5">
        <f>I5*(1+Assumptions!J5)</f>
        <v>192373.69345474569</v>
      </c>
    </row>
    <row r="6" spans="2:10" x14ac:dyDescent="0.2">
      <c r="B6" s="4" t="s">
        <v>6</v>
      </c>
      <c r="C6">
        <f>C4+C5</f>
        <v>383285</v>
      </c>
      <c r="D6">
        <f t="shared" ref="D6:F6" si="0">D4+D5</f>
        <v>391035</v>
      </c>
      <c r="E6">
        <f t="shared" si="0"/>
        <v>416161</v>
      </c>
      <c r="F6">
        <f t="shared" si="0"/>
        <v>441540.08</v>
      </c>
      <c r="G6">
        <f t="shared" ref="G6:J6" si="1">G4+G5</f>
        <v>468982.24</v>
      </c>
      <c r="H6">
        <f t="shared" si="1"/>
        <v>498695.75321600004</v>
      </c>
      <c r="I6">
        <f t="shared" si="1"/>
        <v>530912.31379456003</v>
      </c>
      <c r="J6">
        <f t="shared" si="1"/>
        <v>565889.78445025301</v>
      </c>
    </row>
    <row r="7" spans="2:10" x14ac:dyDescent="0.2">
      <c r="C7" s="5"/>
      <c r="D7" s="5"/>
      <c r="E7" s="5"/>
    </row>
    <row r="8" spans="2:10" x14ac:dyDescent="0.2">
      <c r="B8" s="3" t="s">
        <v>8</v>
      </c>
      <c r="C8" s="5">
        <v>192000</v>
      </c>
      <c r="D8" s="5">
        <v>185233</v>
      </c>
      <c r="E8" s="5">
        <v>194116</v>
      </c>
      <c r="F8">
        <f>F4*Assumptions!F7</f>
        <v>201148.36559999999</v>
      </c>
      <c r="G8">
        <f>G4*Assumptions!G7</f>
        <v>209194.30022400001</v>
      </c>
      <c r="H8">
        <f>H4*Assumptions!H7</f>
        <v>217562.07223296</v>
      </c>
      <c r="I8">
        <f>I4*Assumptions!I7</f>
        <v>226264.55512227843</v>
      </c>
      <c r="J8">
        <f>J4*Assumptions!J7</f>
        <v>235315.13732716956</v>
      </c>
    </row>
    <row r="9" spans="2:10" x14ac:dyDescent="0.2">
      <c r="B9" s="3" t="s">
        <v>9</v>
      </c>
      <c r="C9" s="5">
        <v>24000</v>
      </c>
      <c r="D9" s="5">
        <v>26000</v>
      </c>
      <c r="E9" s="5">
        <v>30000</v>
      </c>
      <c r="F9">
        <f>F5*Assumptions!F8</f>
        <v>34231.948800000006</v>
      </c>
      <c r="G9">
        <f>G5*Assumptions!G8</f>
        <v>38339.78265600001</v>
      </c>
      <c r="H9">
        <f>H5*Assumptions!H8</f>
        <v>42940.556574720016</v>
      </c>
      <c r="I9">
        <f>I5*Assumptions!I8</f>
        <v>48093.423363686423</v>
      </c>
      <c r="J9">
        <f>J5*Assumptions!J8</f>
        <v>53864.634167328797</v>
      </c>
    </row>
    <row r="10" spans="2:10" x14ac:dyDescent="0.2">
      <c r="B10" s="4" t="s">
        <v>7</v>
      </c>
      <c r="C10">
        <f>C8+C9</f>
        <v>216000</v>
      </c>
      <c r="D10">
        <f t="shared" ref="D10:F10" si="2">D8+D9</f>
        <v>211233</v>
      </c>
      <c r="E10">
        <f t="shared" si="2"/>
        <v>224116</v>
      </c>
      <c r="F10">
        <f t="shared" si="2"/>
        <v>235380.3144</v>
      </c>
      <c r="G10">
        <f t="shared" ref="G10:J10" si="3">G8+G9</f>
        <v>247534.08288</v>
      </c>
      <c r="H10">
        <f t="shared" si="3"/>
        <v>260502.62880768001</v>
      </c>
      <c r="I10">
        <f t="shared" si="3"/>
        <v>274357.97848596482</v>
      </c>
      <c r="J10">
        <f t="shared" si="3"/>
        <v>289179.77149449836</v>
      </c>
    </row>
    <row r="11" spans="2:10" x14ac:dyDescent="0.2">
      <c r="C11" s="5"/>
      <c r="D11" s="5"/>
      <c r="E11" s="5"/>
    </row>
    <row r="12" spans="2:10" x14ac:dyDescent="0.2">
      <c r="B12" s="4" t="s">
        <v>10</v>
      </c>
      <c r="C12">
        <f>C6-C10</f>
        <v>167285</v>
      </c>
      <c r="D12">
        <f t="shared" ref="D12" si="4">D6-D10</f>
        <v>179802</v>
      </c>
      <c r="E12">
        <f t="shared" ref="E12:J12" si="5">E6-E10</f>
        <v>192045</v>
      </c>
      <c r="F12">
        <f t="shared" si="5"/>
        <v>206159.76560000001</v>
      </c>
      <c r="G12">
        <f t="shared" si="5"/>
        <v>221448.15711999999</v>
      </c>
      <c r="H12">
        <f t="shared" si="5"/>
        <v>238193.12440832003</v>
      </c>
      <c r="I12">
        <f t="shared" si="5"/>
        <v>256554.33530859521</v>
      </c>
      <c r="J12">
        <f t="shared" si="5"/>
        <v>276710.01295575465</v>
      </c>
    </row>
    <row r="13" spans="2:10" x14ac:dyDescent="0.2">
      <c r="B13" s="3" t="s">
        <v>11</v>
      </c>
      <c r="C13" s="5">
        <v>29915</v>
      </c>
      <c r="D13" s="5">
        <v>31370</v>
      </c>
      <c r="E13" s="5">
        <v>33500</v>
      </c>
      <c r="F13">
        <f>F6*Assumptions!F9</f>
        <v>35323.206400000003</v>
      </c>
      <c r="G13">
        <f>G6*Assumptions!G9</f>
        <v>37518.5792</v>
      </c>
      <c r="H13">
        <f>H6*Assumptions!H9</f>
        <v>39895.660257280004</v>
      </c>
      <c r="I13">
        <f>I6*Assumptions!I9</f>
        <v>42472.985103564803</v>
      </c>
      <c r="J13">
        <f>J6*Assumptions!J9</f>
        <v>45271.182756020244</v>
      </c>
    </row>
    <row r="14" spans="2:10" x14ac:dyDescent="0.2">
      <c r="B14" s="3" t="s">
        <v>13</v>
      </c>
      <c r="C14" s="5">
        <v>24932</v>
      </c>
      <c r="D14" s="5">
        <v>26251</v>
      </c>
      <c r="E14" s="5">
        <v>28100</v>
      </c>
      <c r="F14">
        <f>F6*Assumptions!F10</f>
        <v>30907.805600000003</v>
      </c>
      <c r="G14">
        <f>G6*Assumptions!G10</f>
        <v>32828.756800000003</v>
      </c>
      <c r="H14">
        <f>H6*Assumptions!H10</f>
        <v>34908.702725120005</v>
      </c>
      <c r="I14">
        <f>I6*Assumptions!I10</f>
        <v>37163.861965619202</v>
      </c>
      <c r="J14">
        <f>J6*Assumptions!J10</f>
        <v>39612.284911517716</v>
      </c>
    </row>
    <row r="15" spans="2:10" x14ac:dyDescent="0.2">
      <c r="B15" s="4" t="s">
        <v>12</v>
      </c>
      <c r="C15">
        <f>C13+C14</f>
        <v>54847</v>
      </c>
      <c r="D15">
        <f t="shared" ref="D15" si="6">D13+D14</f>
        <v>57621</v>
      </c>
      <c r="E15">
        <f t="shared" ref="E15:J15" si="7">E13+E14</f>
        <v>61600</v>
      </c>
      <c r="F15">
        <f t="shared" si="7"/>
        <v>66231.012000000002</v>
      </c>
      <c r="G15">
        <f t="shared" si="7"/>
        <v>70347.33600000001</v>
      </c>
      <c r="H15">
        <f t="shared" si="7"/>
        <v>74804.362982400009</v>
      </c>
      <c r="I15">
        <f t="shared" si="7"/>
        <v>79636.847069184005</v>
      </c>
      <c r="J15">
        <f t="shared" si="7"/>
        <v>84883.46766753796</v>
      </c>
    </row>
    <row r="16" spans="2:10" x14ac:dyDescent="0.2">
      <c r="C16" s="5"/>
      <c r="D16" s="5"/>
      <c r="E16" s="5"/>
    </row>
    <row r="17" spans="2:10" x14ac:dyDescent="0.2">
      <c r="B17" s="4" t="s">
        <v>14</v>
      </c>
      <c r="C17">
        <f>C12-C15</f>
        <v>112438</v>
      </c>
      <c r="D17">
        <f t="shared" ref="D17:F17" si="8">D12-D15</f>
        <v>122181</v>
      </c>
      <c r="E17">
        <f t="shared" si="8"/>
        <v>130445</v>
      </c>
      <c r="F17">
        <f t="shared" si="8"/>
        <v>139928.7536</v>
      </c>
      <c r="G17">
        <f t="shared" ref="G17:J17" si="9">G12-G15</f>
        <v>151100.82111999998</v>
      </c>
      <c r="H17">
        <f t="shared" si="9"/>
        <v>163388.76142592001</v>
      </c>
      <c r="I17">
        <f t="shared" si="9"/>
        <v>176917.48823941121</v>
      </c>
      <c r="J17">
        <f t="shared" si="9"/>
        <v>191826.54528821667</v>
      </c>
    </row>
    <row r="18" spans="2:10" x14ac:dyDescent="0.2">
      <c r="B18" s="3" t="s">
        <v>15</v>
      </c>
      <c r="C18" s="5">
        <v>-300</v>
      </c>
      <c r="D18" s="5">
        <v>-150</v>
      </c>
      <c r="E18" s="5">
        <v>-100</v>
      </c>
      <c r="F18">
        <f>E18</f>
        <v>-100</v>
      </c>
      <c r="G18">
        <f>F18</f>
        <v>-100</v>
      </c>
      <c r="H18">
        <f>G18</f>
        <v>-100</v>
      </c>
      <c r="I18">
        <f>H18</f>
        <v>-100</v>
      </c>
      <c r="J18">
        <f>I18</f>
        <v>-100</v>
      </c>
    </row>
    <row r="19" spans="2:10" x14ac:dyDescent="0.2">
      <c r="B19" s="3" t="s">
        <v>17</v>
      </c>
      <c r="C19" s="5">
        <v>16700</v>
      </c>
      <c r="D19" s="5">
        <v>18200</v>
      </c>
      <c r="E19" s="5">
        <v>21500</v>
      </c>
      <c r="F19">
        <f>F20*Assumptions!F11</f>
        <v>22372.600576000001</v>
      </c>
      <c r="G19">
        <f>G20*Assumptions!G11</f>
        <v>24160.131379199996</v>
      </c>
      <c r="H19">
        <f>H20*Assumptions!H11</f>
        <v>26126.201828147201</v>
      </c>
      <c r="I19">
        <f>I20*Assumptions!I11</f>
        <v>28290.798118305793</v>
      </c>
      <c r="J19">
        <f>J20*Assumptions!J11</f>
        <v>30676.247246114668</v>
      </c>
    </row>
    <row r="20" spans="2:10" x14ac:dyDescent="0.2">
      <c r="B20" s="6" t="s">
        <v>18</v>
      </c>
      <c r="C20">
        <f t="shared" ref="C20:J20" si="10">C17+C18</f>
        <v>112138</v>
      </c>
      <c r="D20">
        <f t="shared" si="10"/>
        <v>122031</v>
      </c>
      <c r="E20">
        <f t="shared" si="10"/>
        <v>130345</v>
      </c>
      <c r="F20">
        <f t="shared" si="10"/>
        <v>139828.7536</v>
      </c>
      <c r="G20">
        <f t="shared" si="10"/>
        <v>151000.82111999998</v>
      </c>
      <c r="H20">
        <f t="shared" si="10"/>
        <v>163288.76142592001</v>
      </c>
      <c r="I20">
        <f t="shared" si="10"/>
        <v>176817.48823941121</v>
      </c>
      <c r="J20">
        <f t="shared" si="10"/>
        <v>191726.54528821667</v>
      </c>
    </row>
    <row r="21" spans="2:10" x14ac:dyDescent="0.2">
      <c r="B21" s="4" t="s">
        <v>16</v>
      </c>
      <c r="C21">
        <f>C20-C19</f>
        <v>95438</v>
      </c>
      <c r="D21">
        <f t="shared" ref="D21" si="11">D20-D19</f>
        <v>103831</v>
      </c>
      <c r="E21">
        <f t="shared" ref="E21:J21" si="12">E20-E19</f>
        <v>108845</v>
      </c>
      <c r="F21">
        <f t="shared" si="12"/>
        <v>117456.153024</v>
      </c>
      <c r="G21">
        <f t="shared" si="12"/>
        <v>126840.68974079998</v>
      </c>
      <c r="H21">
        <f t="shared" si="12"/>
        <v>137162.55959777281</v>
      </c>
      <c r="I21">
        <f t="shared" si="12"/>
        <v>148526.69012110541</v>
      </c>
      <c r="J21">
        <f t="shared" si="12"/>
        <v>161050.29804210202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078D8-CC1E-A04E-BECD-F37A3CA3923A}">
  <dimension ref="B1:J21"/>
  <sheetViews>
    <sheetView zoomScale="125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baseColWidth="10" defaultRowHeight="16" x14ac:dyDescent="0.2"/>
  <cols>
    <col min="2" max="2" width="33.83203125" bestFit="1" customWidth="1"/>
  </cols>
  <sheetData>
    <row r="1" spans="2:10" x14ac:dyDescent="0.2">
      <c r="C1" s="7"/>
      <c r="D1" s="7"/>
      <c r="E1" s="7"/>
      <c r="F1" s="7"/>
      <c r="G1" s="7"/>
      <c r="H1" s="7"/>
      <c r="I1" s="7"/>
      <c r="J1" s="7"/>
    </row>
    <row r="2" spans="2:10" s="8" customFormat="1" x14ac:dyDescent="0.2">
      <c r="C2" s="2">
        <v>2023</v>
      </c>
      <c r="D2" s="2">
        <v>2024</v>
      </c>
      <c r="E2" s="2">
        <v>2025</v>
      </c>
      <c r="F2" s="2" t="s">
        <v>0</v>
      </c>
      <c r="G2" s="2" t="s">
        <v>19</v>
      </c>
      <c r="H2" s="2" t="s">
        <v>1</v>
      </c>
      <c r="I2" s="2" t="s">
        <v>2</v>
      </c>
      <c r="J2" s="2" t="s">
        <v>20</v>
      </c>
    </row>
    <row r="4" spans="2:10" x14ac:dyDescent="0.2">
      <c r="B4" t="s">
        <v>21</v>
      </c>
      <c r="C4" s="5">
        <v>61555</v>
      </c>
      <c r="D4" s="5">
        <v>65171</v>
      </c>
      <c r="E4" s="5">
        <v>75000</v>
      </c>
      <c r="F4">
        <f ca="1">'Cash Flow Statement'!F21</f>
        <v>0</v>
      </c>
      <c r="G4">
        <f ca="1">'Cash Flow Statement'!G21</f>
        <v>0</v>
      </c>
      <c r="H4">
        <f ca="1">'Cash Flow Statement'!H21</f>
        <v>0</v>
      </c>
      <c r="I4">
        <f ca="1">'Cash Flow Statement'!I21</f>
        <v>0</v>
      </c>
      <c r="J4">
        <f ca="1">'Cash Flow Statement'!J21</f>
        <v>0</v>
      </c>
    </row>
    <row r="5" spans="2:10" x14ac:dyDescent="0.2">
      <c r="B5" t="s">
        <v>22</v>
      </c>
      <c r="C5" s="5">
        <v>60985</v>
      </c>
      <c r="D5" s="5">
        <v>66243</v>
      </c>
      <c r="E5" s="5">
        <v>70000</v>
      </c>
      <c r="F5">
        <f>'Income Statement'!F6*Assumptions!F13</f>
        <v>70646.412800000006</v>
      </c>
      <c r="G5">
        <f>'Income Statement'!G6*Assumptions!G13</f>
        <v>75037.1584</v>
      </c>
      <c r="H5">
        <f>'Income Statement'!H6*Assumptions!H13</f>
        <v>79791.320514560008</v>
      </c>
      <c r="I5">
        <f>'Income Statement'!I6*Assumptions!I13</f>
        <v>84945.970207129605</v>
      </c>
      <c r="J5">
        <f>'Income Statement'!J6*Assumptions!J13</f>
        <v>90542.365512040487</v>
      </c>
    </row>
    <row r="6" spans="2:10" x14ac:dyDescent="0.2">
      <c r="B6" t="s">
        <v>23</v>
      </c>
      <c r="C6" s="5">
        <v>6331</v>
      </c>
      <c r="D6" s="5">
        <v>7286</v>
      </c>
      <c r="E6" s="5">
        <v>8000</v>
      </c>
      <c r="F6">
        <f>'Income Statement'!F10*Assumptions!F14</f>
        <v>9415.2125759999999</v>
      </c>
      <c r="G6">
        <f>'Income Statement'!G10*Assumptions!G14</f>
        <v>9901.3633152000002</v>
      </c>
      <c r="H6">
        <f>'Income Statement'!H10*Assumptions!H14</f>
        <v>10420.1051523072</v>
      </c>
      <c r="I6">
        <f>'Income Statement'!I10*Assumptions!I14</f>
        <v>10974.319139438592</v>
      </c>
      <c r="J6">
        <f>'Income Statement'!J10*Assumptions!J14</f>
        <v>11567.190859779934</v>
      </c>
    </row>
    <row r="7" spans="2:10" x14ac:dyDescent="0.2">
      <c r="B7" s="9" t="s">
        <v>24</v>
      </c>
      <c r="C7">
        <f>C4+C5+C6</f>
        <v>128871</v>
      </c>
      <c r="D7">
        <f t="shared" ref="D7:F7" si="0">D4+D5+D6</f>
        <v>138700</v>
      </c>
      <c r="E7">
        <f t="shared" si="0"/>
        <v>153000</v>
      </c>
      <c r="F7">
        <f t="shared" ca="1" si="0"/>
        <v>80061.625376000011</v>
      </c>
      <c r="G7">
        <f t="shared" ref="G7:J7" ca="1" si="1">G4+G5+G6</f>
        <v>84938.521715199997</v>
      </c>
      <c r="H7">
        <f t="shared" ca="1" si="1"/>
        <v>90211.425666867202</v>
      </c>
      <c r="I7">
        <f t="shared" ca="1" si="1"/>
        <v>95920.289346568199</v>
      </c>
      <c r="J7">
        <f t="shared" ca="1" si="1"/>
        <v>102109.55637182042</v>
      </c>
    </row>
    <row r="8" spans="2:10" x14ac:dyDescent="0.2">
      <c r="B8" t="s">
        <v>25</v>
      </c>
      <c r="C8" s="5">
        <v>223712</v>
      </c>
      <c r="D8" s="5">
        <v>226280</v>
      </c>
      <c r="E8" s="5">
        <v>235000</v>
      </c>
      <c r="F8">
        <f>E8+'Cash Flow Statement'!F11-'Cash Flow Statement'!F5</f>
        <v>210003.79759999999</v>
      </c>
      <c r="G8">
        <f>F8+'Cash Flow Statement'!G11-'Cash Flow Statement'!G5</f>
        <v>185434.14051999999</v>
      </c>
      <c r="H8">
        <f>G8+'Cash Flow Statement'!H11-'Cash Flow Statement'!H5</f>
        <v>161201.56089751999</v>
      </c>
      <c r="I8">
        <f>H8+'Cash Flow Statement'!I11-'Cash Flow Statement'!I5</f>
        <v>137214.1134388072</v>
      </c>
      <c r="J8">
        <f>I8+'Cash Flow Statement'!J11-'Cash Flow Statement'!J5</f>
        <v>113376.71423335925</v>
      </c>
    </row>
    <row r="9" spans="2:10" x14ac:dyDescent="0.2">
      <c r="B9" s="9" t="s">
        <v>26</v>
      </c>
      <c r="C9">
        <f>C7+C8</f>
        <v>352583</v>
      </c>
      <c r="D9">
        <f t="shared" ref="D9:F9" si="2">D7+D8</f>
        <v>364980</v>
      </c>
      <c r="E9">
        <f t="shared" si="2"/>
        <v>388000</v>
      </c>
      <c r="F9">
        <f t="shared" ca="1" si="2"/>
        <v>290065.422976</v>
      </c>
      <c r="G9">
        <f t="shared" ref="G9:J9" ca="1" si="3">G7+G8</f>
        <v>270372.6622352</v>
      </c>
      <c r="H9">
        <f t="shared" ca="1" si="3"/>
        <v>251412.98656438719</v>
      </c>
      <c r="I9">
        <f t="shared" ca="1" si="3"/>
        <v>233134.40278537539</v>
      </c>
      <c r="J9">
        <f t="shared" ca="1" si="3"/>
        <v>215486.27060517966</v>
      </c>
    </row>
    <row r="11" spans="2:10" x14ac:dyDescent="0.2">
      <c r="B11" s="10" t="s">
        <v>27</v>
      </c>
      <c r="C11" s="5">
        <v>62611</v>
      </c>
      <c r="D11" s="5">
        <v>58110</v>
      </c>
      <c r="E11" s="5">
        <v>65000</v>
      </c>
      <c r="F11">
        <f>'Income Statement'!F10*Assumptions!F15</f>
        <v>70614.094320000004</v>
      </c>
      <c r="G11">
        <f>'Income Statement'!G10*Assumptions!G15</f>
        <v>74260.224864000003</v>
      </c>
      <c r="H11">
        <f>'Income Statement'!H10*Assumptions!H15</f>
        <v>78150.788642304004</v>
      </c>
      <c r="I11">
        <f>'Income Statement'!I10*Assumptions!I15</f>
        <v>82307.39354578944</v>
      </c>
      <c r="J11">
        <f>'Income Statement'!J10*Assumptions!J15</f>
        <v>86753.931448349511</v>
      </c>
    </row>
    <row r="12" spans="2:10" x14ac:dyDescent="0.2">
      <c r="B12" s="10" t="s">
        <v>28</v>
      </c>
      <c r="C12" s="5">
        <v>59888</v>
      </c>
      <c r="D12" s="5">
        <v>60000</v>
      </c>
      <c r="E12" s="5">
        <v>62285</v>
      </c>
      <c r="F12">
        <f>E12</f>
        <v>62285</v>
      </c>
      <c r="G12">
        <f t="shared" ref="G12:J12" si="4">F12</f>
        <v>62285</v>
      </c>
      <c r="H12">
        <f t="shared" si="4"/>
        <v>62285</v>
      </c>
      <c r="I12">
        <f t="shared" si="4"/>
        <v>62285</v>
      </c>
      <c r="J12">
        <f t="shared" si="4"/>
        <v>62285</v>
      </c>
    </row>
    <row r="13" spans="2:10" x14ac:dyDescent="0.2">
      <c r="B13" s="9" t="s">
        <v>29</v>
      </c>
      <c r="C13">
        <f>C11+C12</f>
        <v>122499</v>
      </c>
      <c r="D13">
        <f t="shared" ref="D13:F13" si="5">D11+D12</f>
        <v>118110</v>
      </c>
      <c r="E13">
        <f t="shared" si="5"/>
        <v>127285</v>
      </c>
      <c r="F13">
        <f t="shared" si="5"/>
        <v>132899.09432</v>
      </c>
      <c r="G13">
        <f t="shared" ref="G13:J13" si="6">G11+G12</f>
        <v>136545.22486399999</v>
      </c>
      <c r="H13">
        <f t="shared" si="6"/>
        <v>140435.78864230402</v>
      </c>
      <c r="I13">
        <f t="shared" si="6"/>
        <v>144592.39354578944</v>
      </c>
      <c r="J13">
        <f t="shared" si="6"/>
        <v>149038.9314483495</v>
      </c>
    </row>
    <row r="14" spans="2:10" x14ac:dyDescent="0.2">
      <c r="B14" s="10" t="s">
        <v>30</v>
      </c>
      <c r="C14" s="5">
        <v>167922</v>
      </c>
      <c r="D14" s="5">
        <v>175000</v>
      </c>
      <c r="E14" s="5">
        <v>170000</v>
      </c>
      <c r="F14">
        <f>E14</f>
        <v>170000</v>
      </c>
      <c r="G14">
        <f t="shared" ref="G14:J14" si="7">F14</f>
        <v>170000</v>
      </c>
      <c r="H14">
        <f t="shared" si="7"/>
        <v>170000</v>
      </c>
      <c r="I14">
        <f t="shared" si="7"/>
        <v>170000</v>
      </c>
      <c r="J14">
        <f t="shared" si="7"/>
        <v>170000</v>
      </c>
    </row>
    <row r="15" spans="2:10" x14ac:dyDescent="0.2">
      <c r="B15" s="9" t="s">
        <v>31</v>
      </c>
      <c r="C15">
        <f>C13+C14</f>
        <v>290421</v>
      </c>
      <c r="D15">
        <f t="shared" ref="D15:F15" si="8">D13+D14</f>
        <v>293110</v>
      </c>
      <c r="E15">
        <f t="shared" si="8"/>
        <v>297285</v>
      </c>
      <c r="F15">
        <f t="shared" si="8"/>
        <v>302899.09432000003</v>
      </c>
      <c r="G15">
        <f t="shared" ref="G15:J15" si="9">G13+G14</f>
        <v>306545.22486399999</v>
      </c>
      <c r="H15">
        <f t="shared" si="9"/>
        <v>310435.78864230402</v>
      </c>
      <c r="I15">
        <f t="shared" si="9"/>
        <v>314592.39354578941</v>
      </c>
      <c r="J15">
        <f t="shared" si="9"/>
        <v>319038.9314483495</v>
      </c>
    </row>
    <row r="17" spans="2:10" x14ac:dyDescent="0.2">
      <c r="B17" t="s">
        <v>32</v>
      </c>
      <c r="C17" s="5">
        <v>62162</v>
      </c>
      <c r="D17" s="5">
        <v>71870</v>
      </c>
      <c r="E17" s="5">
        <v>90715</v>
      </c>
      <c r="F17">
        <f>E17+'Income Statement'!F21</f>
        <v>208171.153024</v>
      </c>
      <c r="G17">
        <f>F17+'Income Statement'!G21</f>
        <v>335011.84276479995</v>
      </c>
      <c r="H17">
        <f>G17+'Income Statement'!H21</f>
        <v>472174.40236257273</v>
      </c>
      <c r="I17">
        <f>H17+'Income Statement'!I21</f>
        <v>620701.09248367813</v>
      </c>
      <c r="J17">
        <f>I17+'Income Statement'!J21</f>
        <v>781751.39052578015</v>
      </c>
    </row>
    <row r="18" spans="2:10" x14ac:dyDescent="0.2">
      <c r="B18" s="9" t="s">
        <v>33</v>
      </c>
      <c r="C18">
        <f>C17</f>
        <v>62162</v>
      </c>
      <c r="D18">
        <f t="shared" ref="D18:F18" si="10">D17</f>
        <v>71870</v>
      </c>
      <c r="E18">
        <f t="shared" si="10"/>
        <v>90715</v>
      </c>
      <c r="F18">
        <f t="shared" si="10"/>
        <v>208171.153024</v>
      </c>
      <c r="G18">
        <f t="shared" ref="G18:J18" si="11">G17</f>
        <v>335011.84276479995</v>
      </c>
      <c r="H18">
        <f t="shared" si="11"/>
        <v>472174.40236257273</v>
      </c>
      <c r="I18">
        <f t="shared" si="11"/>
        <v>620701.09248367813</v>
      </c>
      <c r="J18">
        <f t="shared" si="11"/>
        <v>781751.39052578015</v>
      </c>
    </row>
    <row r="20" spans="2:10" x14ac:dyDescent="0.2">
      <c r="B20" s="9" t="s">
        <v>34</v>
      </c>
      <c r="C20">
        <f>C15+C18</f>
        <v>352583</v>
      </c>
      <c r="D20">
        <f t="shared" ref="D20:F20" si="12">D15+D18</f>
        <v>364980</v>
      </c>
      <c r="E20">
        <f t="shared" si="12"/>
        <v>388000</v>
      </c>
      <c r="F20">
        <f t="shared" si="12"/>
        <v>511070.24734400003</v>
      </c>
      <c r="G20">
        <f t="shared" ref="G20:J20" si="13">G15+G18</f>
        <v>641557.06762879994</v>
      </c>
      <c r="H20">
        <f t="shared" si="13"/>
        <v>782610.19100487675</v>
      </c>
      <c r="I20">
        <f t="shared" si="13"/>
        <v>935293.48602946755</v>
      </c>
      <c r="J20">
        <f t="shared" si="13"/>
        <v>1100790.3219741296</v>
      </c>
    </row>
    <row r="21" spans="2:10" x14ac:dyDescent="0.2">
      <c r="B21" s="9" t="s">
        <v>35</v>
      </c>
      <c r="C21">
        <f>C9-C20</f>
        <v>0</v>
      </c>
      <c r="D21">
        <f t="shared" ref="D21:F21" si="14">D9-D20</f>
        <v>0</v>
      </c>
      <c r="E21">
        <f t="shared" si="14"/>
        <v>0</v>
      </c>
      <c r="F21">
        <f t="shared" ca="1" si="14"/>
        <v>-221004.82436800003</v>
      </c>
      <c r="G21">
        <f t="shared" ref="G21:J21" ca="1" si="15">G9-G20</f>
        <v>-371184.40539359994</v>
      </c>
      <c r="H21">
        <f t="shared" ca="1" si="15"/>
        <v>-531197.20444048953</v>
      </c>
      <c r="I21">
        <f t="shared" ca="1" si="15"/>
        <v>-702159.08324409218</v>
      </c>
      <c r="J21">
        <f t="shared" ca="1" si="15"/>
        <v>-885304.05136894993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F8DDA-B1D6-654E-9D02-A2EC1C21B1AE}">
  <dimension ref="B2:J21"/>
  <sheetViews>
    <sheetView tabSelected="1" zoomScale="120" zoomScaleNormal="12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baseColWidth="10" defaultRowHeight="16" x14ac:dyDescent="0.2"/>
  <cols>
    <col min="2" max="2" width="40.83203125" customWidth="1"/>
  </cols>
  <sheetData>
    <row r="2" spans="2:10" x14ac:dyDescent="0.2">
      <c r="C2" s="7">
        <v>2023</v>
      </c>
      <c r="D2" s="7">
        <v>2024</v>
      </c>
      <c r="E2" s="7">
        <v>2025</v>
      </c>
      <c r="F2" s="7" t="s">
        <v>0</v>
      </c>
      <c r="G2" s="7" t="s">
        <v>19</v>
      </c>
      <c r="H2" s="7" t="s">
        <v>1</v>
      </c>
      <c r="I2" s="7" t="s">
        <v>2</v>
      </c>
      <c r="J2" s="7" t="s">
        <v>3</v>
      </c>
    </row>
    <row r="4" spans="2:10" s="11" customFormat="1" x14ac:dyDescent="0.2">
      <c r="B4" s="12" t="s">
        <v>16</v>
      </c>
      <c r="D4" s="11">
        <f>'Income Statement'!D21</f>
        <v>103831</v>
      </c>
      <c r="E4" s="11">
        <f>'Income Statement'!E21</f>
        <v>108845</v>
      </c>
      <c r="F4" s="11">
        <f>'Income Statement'!F21</f>
        <v>117456.153024</v>
      </c>
      <c r="G4" s="11">
        <f>'Income Statement'!G21</f>
        <v>126840.68974079998</v>
      </c>
      <c r="H4" s="11">
        <f>'Income Statement'!H21</f>
        <v>137162.55959777281</v>
      </c>
      <c r="I4" s="11">
        <f>'Income Statement'!I21</f>
        <v>148526.69012110541</v>
      </c>
      <c r="J4" s="11">
        <f>'Income Statement'!J21</f>
        <v>161050.29804210202</v>
      </c>
    </row>
    <row r="5" spans="2:10" x14ac:dyDescent="0.2">
      <c r="B5" t="s">
        <v>36</v>
      </c>
      <c r="D5" s="5">
        <v>11500</v>
      </c>
      <c r="E5" s="5">
        <v>12000</v>
      </c>
      <c r="F5">
        <f>'Balance Sheet'!E8*Assumptions!F17</f>
        <v>11750</v>
      </c>
      <c r="G5">
        <f>'Balance Sheet'!F8*Assumptions!G17</f>
        <v>10500.18988</v>
      </c>
      <c r="H5">
        <f>'Balance Sheet'!G8*Assumptions!H17</f>
        <v>9271.707026</v>
      </c>
      <c r="I5">
        <f>'Balance Sheet'!H8*Assumptions!I17</f>
        <v>8060.0780448759997</v>
      </c>
      <c r="J5">
        <f>'Balance Sheet'!I8*Assumptions!J17</f>
        <v>6860.7056719403599</v>
      </c>
    </row>
    <row r="6" spans="2:10" x14ac:dyDescent="0.2">
      <c r="B6" t="s">
        <v>37</v>
      </c>
      <c r="D6">
        <f>'Balance Sheet'!C5-'Balance Sheet'!D5</f>
        <v>-5258</v>
      </c>
      <c r="E6">
        <f>'Balance Sheet'!D5-'Balance Sheet'!E5</f>
        <v>-3757</v>
      </c>
      <c r="F6">
        <f>'Balance Sheet'!E5-'Balance Sheet'!F5</f>
        <v>-646.41280000000552</v>
      </c>
      <c r="G6">
        <f>'Balance Sheet'!F5-'Balance Sheet'!G5</f>
        <v>-4390.7455999999947</v>
      </c>
      <c r="H6">
        <f>'Balance Sheet'!G5-'Balance Sheet'!H5</f>
        <v>-4754.1621145600075</v>
      </c>
      <c r="I6">
        <f>'Balance Sheet'!H5-'Balance Sheet'!I5</f>
        <v>-5154.6496925695974</v>
      </c>
      <c r="J6">
        <f>'Balance Sheet'!I5-'Balance Sheet'!J5</f>
        <v>-5596.3953049108823</v>
      </c>
    </row>
    <row r="7" spans="2:10" x14ac:dyDescent="0.2">
      <c r="B7" t="s">
        <v>38</v>
      </c>
      <c r="D7">
        <f>'Balance Sheet'!C6-'Balance Sheet'!D6</f>
        <v>-955</v>
      </c>
      <c r="E7">
        <f>'Balance Sheet'!D6-'Balance Sheet'!E6</f>
        <v>-714</v>
      </c>
      <c r="F7">
        <f>'Balance Sheet'!E6-'Balance Sheet'!F6</f>
        <v>-1415.2125759999999</v>
      </c>
      <c r="G7">
        <f>'Balance Sheet'!F6-'Balance Sheet'!G6</f>
        <v>-486.15073920000032</v>
      </c>
      <c r="H7">
        <f>'Balance Sheet'!G6-'Balance Sheet'!H6</f>
        <v>-518.7418371071999</v>
      </c>
      <c r="I7">
        <f>'Balance Sheet'!H6-'Balance Sheet'!I6</f>
        <v>-554.21398713139206</v>
      </c>
      <c r="J7">
        <f>'Balance Sheet'!I6-'Balance Sheet'!J6</f>
        <v>-592.87172034134164</v>
      </c>
    </row>
    <row r="8" spans="2:10" x14ac:dyDescent="0.2">
      <c r="B8" t="s">
        <v>39</v>
      </c>
      <c r="D8">
        <f>'Balance Sheet'!D11-'Balance Sheet'!C11</f>
        <v>-4501</v>
      </c>
      <c r="E8">
        <f>'Balance Sheet'!E11-'Balance Sheet'!D11</f>
        <v>6890</v>
      </c>
      <c r="F8">
        <f>'Balance Sheet'!F11-'Balance Sheet'!E11</f>
        <v>5614.0943200000038</v>
      </c>
      <c r="G8">
        <f>'Balance Sheet'!G11-'Balance Sheet'!F11</f>
        <v>3646.1305439999996</v>
      </c>
      <c r="H8">
        <f>'Balance Sheet'!H11-'Balance Sheet'!G11</f>
        <v>3890.5637783040002</v>
      </c>
      <c r="I8">
        <f>'Balance Sheet'!I11-'Balance Sheet'!H11</f>
        <v>4156.6049034854368</v>
      </c>
      <c r="J8">
        <f>'Balance Sheet'!J11-'Balance Sheet'!I11</f>
        <v>4446.5379025600705</v>
      </c>
    </row>
    <row r="9" spans="2:10" x14ac:dyDescent="0.2">
      <c r="B9" s="9" t="s">
        <v>40</v>
      </c>
      <c r="D9">
        <f>SUM(D4,D8)</f>
        <v>99330</v>
      </c>
      <c r="E9">
        <f>SUM(E4,E8)</f>
        <v>115735</v>
      </c>
      <c r="F9">
        <f>SUM(F4,F8)</f>
        <v>123070.247344</v>
      </c>
      <c r="G9">
        <f t="shared" ref="G9:J9" si="0">SUM(G4,G8)</f>
        <v>130486.82028479998</v>
      </c>
      <c r="H9">
        <f t="shared" si="0"/>
        <v>141053.12337607681</v>
      </c>
      <c r="I9">
        <f t="shared" si="0"/>
        <v>152683.29502459086</v>
      </c>
      <c r="J9">
        <f t="shared" si="0"/>
        <v>165496.8359446621</v>
      </c>
    </row>
    <row r="11" spans="2:10" x14ac:dyDescent="0.2">
      <c r="B11" t="s">
        <v>61</v>
      </c>
      <c r="D11" s="5">
        <v>-10500</v>
      </c>
      <c r="E11" s="5">
        <v>-12220</v>
      </c>
      <c r="F11">
        <f>-('Income Statement'!F6*Assumptions!F16)</f>
        <v>-13246.2024</v>
      </c>
      <c r="G11">
        <f>-('Income Statement'!G6*Assumptions!G16)</f>
        <v>-14069.467199999999</v>
      </c>
      <c r="H11">
        <f>-('Income Statement'!H6*Assumptions!H16)</f>
        <v>-14960.872596480001</v>
      </c>
      <c r="I11">
        <f>-('Income Statement'!I6*Assumptions!I16)</f>
        <v>-15927.369413836801</v>
      </c>
      <c r="J11">
        <f>-('Income Statement'!J6*Assumptions!J16)</f>
        <v>-16976.69353350759</v>
      </c>
    </row>
    <row r="12" spans="2:10" x14ac:dyDescent="0.2">
      <c r="B12" s="9" t="s">
        <v>41</v>
      </c>
      <c r="D12">
        <f>D11</f>
        <v>-10500</v>
      </c>
      <c r="E12">
        <f>E11</f>
        <v>-12220</v>
      </c>
      <c r="F12">
        <f>F11</f>
        <v>-13246.2024</v>
      </c>
      <c r="G12">
        <f t="shared" ref="G12:J12" si="1">G11</f>
        <v>-14069.467199999999</v>
      </c>
      <c r="H12">
        <f t="shared" si="1"/>
        <v>-14960.872596480001</v>
      </c>
      <c r="I12">
        <f t="shared" si="1"/>
        <v>-15927.369413836801</v>
      </c>
      <c r="J12">
        <f t="shared" si="1"/>
        <v>-16976.69353350759</v>
      </c>
    </row>
    <row r="14" spans="2:10" x14ac:dyDescent="0.2">
      <c r="B14" t="s">
        <v>42</v>
      </c>
      <c r="D14">
        <f>'Balance Sheet'!D12-'Balance Sheet'!C12</f>
        <v>112</v>
      </c>
      <c r="E14">
        <f>'Balance Sheet'!E12-'Balance Sheet'!D12</f>
        <v>2285</v>
      </c>
      <c r="F14">
        <f>'Balance Sheet'!F12-'Balance Sheet'!E12</f>
        <v>0</v>
      </c>
      <c r="G14">
        <f>'Balance Sheet'!G12-'Balance Sheet'!F12</f>
        <v>0</v>
      </c>
      <c r="H14">
        <f>'Balance Sheet'!H12-'Balance Sheet'!G12</f>
        <v>0</v>
      </c>
      <c r="I14">
        <f>'Balance Sheet'!I12-'Balance Sheet'!H12</f>
        <v>0</v>
      </c>
      <c r="J14">
        <f>'Balance Sheet'!J12-'Balance Sheet'!I12</f>
        <v>0</v>
      </c>
    </row>
    <row r="15" spans="2:10" x14ac:dyDescent="0.2">
      <c r="B15" t="s">
        <v>43</v>
      </c>
      <c r="D15">
        <f>'Balance Sheet'!D14-'Balance Sheet'!C14</f>
        <v>7078</v>
      </c>
      <c r="E15">
        <f>'Balance Sheet'!E14-'Balance Sheet'!D14</f>
        <v>-5000</v>
      </c>
      <c r="F15">
        <f>'Balance Sheet'!F14-'Balance Sheet'!E14</f>
        <v>0</v>
      </c>
      <c r="G15">
        <f>'Balance Sheet'!G14-'Balance Sheet'!F14</f>
        <v>0</v>
      </c>
      <c r="H15">
        <f>'Balance Sheet'!H14-'Balance Sheet'!G14</f>
        <v>0</v>
      </c>
      <c r="I15">
        <f>'Balance Sheet'!I14-'Balance Sheet'!H14</f>
        <v>0</v>
      </c>
      <c r="J15">
        <f>'Balance Sheet'!J14-'Balance Sheet'!I14</f>
        <v>0</v>
      </c>
    </row>
    <row r="16" spans="2:10" x14ac:dyDescent="0.2">
      <c r="B16" s="9" t="s">
        <v>44</v>
      </c>
      <c r="D16">
        <f>SUM(D14,D15)</f>
        <v>7190</v>
      </c>
      <c r="E16">
        <f>SUM(E14,E15)</f>
        <v>-2715</v>
      </c>
      <c r="F16">
        <f>SUM(F14,F15)</f>
        <v>0</v>
      </c>
      <c r="G16">
        <f t="shared" ref="G16:J16" si="2">SUM(G14,G15)</f>
        <v>0</v>
      </c>
      <c r="H16">
        <f t="shared" si="2"/>
        <v>0</v>
      </c>
      <c r="I16">
        <f t="shared" si="2"/>
        <v>0</v>
      </c>
      <c r="J16">
        <f t="shared" si="2"/>
        <v>0</v>
      </c>
    </row>
    <row r="18" spans="2:10" x14ac:dyDescent="0.2">
      <c r="B18" s="9" t="s">
        <v>45</v>
      </c>
      <c r="D18">
        <f>SUM(D9,D12,D16)</f>
        <v>96020</v>
      </c>
      <c r="E18">
        <f>SUM(E9,E12,E16)</f>
        <v>100800</v>
      </c>
      <c r="F18">
        <f>SUM(F9,F12,F16)</f>
        <v>109824.04494400001</v>
      </c>
      <c r="G18">
        <f t="shared" ref="G18:J18" si="3">SUM(G9,G12,G16)</f>
        <v>116417.35308479998</v>
      </c>
      <c r="H18">
        <f t="shared" si="3"/>
        <v>126092.25077959681</v>
      </c>
      <c r="I18">
        <f t="shared" si="3"/>
        <v>136755.92561075406</v>
      </c>
      <c r="J18">
        <f t="shared" si="3"/>
        <v>148520.14241115452</v>
      </c>
    </row>
    <row r="19" spans="2:10" x14ac:dyDescent="0.2">
      <c r="B19" t="s">
        <v>46</v>
      </c>
      <c r="D19">
        <f>'Balance Sheet'!C4</f>
        <v>61555</v>
      </c>
      <c r="E19">
        <f>'Balance Sheet'!D4</f>
        <v>65171</v>
      </c>
      <c r="F19">
        <f>'Balance Sheet'!E4</f>
        <v>75000</v>
      </c>
      <c r="G19">
        <f ca="1">'Balance Sheet'!F4</f>
        <v>75000</v>
      </c>
      <c r="H19">
        <f ca="1">'Balance Sheet'!G4</f>
        <v>0</v>
      </c>
      <c r="I19">
        <f ca="1">'Balance Sheet'!H4</f>
        <v>0</v>
      </c>
      <c r="J19">
        <f ca="1">'Balance Sheet'!I4</f>
        <v>0</v>
      </c>
    </row>
    <row r="20" spans="2:10" x14ac:dyDescent="0.2">
      <c r="B20" s="9" t="s">
        <v>47</v>
      </c>
      <c r="D20">
        <f>SUM(D18,D19)</f>
        <v>157575</v>
      </c>
      <c r="E20">
        <f>SUM(E18,E19)</f>
        <v>165971</v>
      </c>
      <c r="F20">
        <f>SUM(F18,F19)</f>
        <v>184824.04494400002</v>
      </c>
      <c r="G20">
        <f t="shared" ref="G20:J20" ca="1" si="4">SUM(G18,G19)</f>
        <v>184824.04494400002</v>
      </c>
      <c r="H20">
        <f t="shared" ca="1" si="4"/>
        <v>126092.25077959681</v>
      </c>
      <c r="I20">
        <f t="shared" ca="1" si="4"/>
        <v>136755.92561075406</v>
      </c>
      <c r="J20">
        <f t="shared" ca="1" si="4"/>
        <v>148520.14241115452</v>
      </c>
    </row>
    <row r="21" spans="2:10" x14ac:dyDescent="0.2">
      <c r="B21" s="9" t="s">
        <v>48</v>
      </c>
      <c r="D21">
        <f>D20-'Balance Sheet'!D4</f>
        <v>92404</v>
      </c>
      <c r="E21">
        <f>E20-'Balance Sheet'!E4</f>
        <v>90971</v>
      </c>
      <c r="F21">
        <f ca="1">F20-'Balance Sheet'!F4</f>
        <v>0</v>
      </c>
      <c r="G21">
        <f ca="1">G20-'Balance Sheet'!G4</f>
        <v>0</v>
      </c>
      <c r="H21">
        <f ca="1">H20-'Balance Sheet'!H4</f>
        <v>0</v>
      </c>
      <c r="I21">
        <f ca="1">I20-'Balance Sheet'!I4</f>
        <v>0</v>
      </c>
      <c r="J21">
        <f ca="1">J20-'Balance Sheet'!J4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Assumptions</vt:lpstr>
      <vt:lpstr>Income Statement</vt:lpstr>
      <vt:lpstr>Balance Sheet</vt:lpstr>
      <vt:lpstr>Cash Flow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Majumdar [MASTER OF BUSINESS ADMINISTRATION (MBA) - 2025]</dc:creator>
  <cp:lastModifiedBy>Arnab Majumdar [MASTER OF BUSINESS ADMINISTRATION (MBA</cp:lastModifiedBy>
  <dcterms:created xsi:type="dcterms:W3CDTF">2026-06-12T14:59:55Z</dcterms:created>
  <dcterms:modified xsi:type="dcterms:W3CDTF">2026-06-17T14:19:48Z</dcterms:modified>
</cp:coreProperties>
</file>